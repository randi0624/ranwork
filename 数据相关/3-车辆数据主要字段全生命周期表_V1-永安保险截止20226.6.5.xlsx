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40" windowHeight="11600"/>
  </bookViews>
  <sheets>
    <sheet name="Sheet1" sheetId="1" r:id="rId1"/>
    <sheet name="Sheet2" sheetId="2" r:id="rId2"/>
  </sheets>
  <definedNames>
    <definedName name="_xlnm._FilterDatabase" localSheetId="0" hidden="1">Sheet1!$A$2:$AB$14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<sst xmlns="http://schemas.openxmlformats.org/spreadsheetml/2006/main" count="127" uniqueCount="64">
  <si>
    <t>截止时间</t>
  </si>
  <si>
    <t>2026.6.5</t>
  </si>
  <si>
    <t>序号</t>
  </si>
  <si>
    <t>车辆编号</t>
  </si>
  <si>
    <t>车驾号</t>
  </si>
  <si>
    <t>数据授权日期</t>
  </si>
  <si>
    <t>数据接入日期</t>
  </si>
  <si>
    <t>总保费（元）</t>
  </si>
  <si>
    <t>车龄（月）</t>
  </si>
  <si>
    <r>
      <rPr>
        <b/>
        <sz val="12"/>
        <color rgb="FFFF0000"/>
        <rFont val="仿宋"/>
        <charset val="134"/>
      </rPr>
      <t>故障记录</t>
    </r>
    <r>
      <rPr>
        <sz val="12"/>
        <color theme="1"/>
        <rFont val="仿宋"/>
        <charset val="134"/>
      </rPr>
      <t xml:space="preserve">
（条）-
</t>
    </r>
    <r>
      <rPr>
        <b/>
        <sz val="12"/>
        <color theme="1"/>
        <rFont val="仿宋"/>
        <charset val="134"/>
      </rPr>
      <t>本身车辆的故障</t>
    </r>
  </si>
  <si>
    <t>最新车辆驾驶行为评分（分数）</t>
  </si>
  <si>
    <t>最新车辆健康评分
（分数）</t>
  </si>
  <si>
    <r>
      <rPr>
        <b/>
        <sz val="12"/>
        <color rgb="FFFF0000"/>
        <rFont val="仿宋"/>
        <charset val="134"/>
      </rPr>
      <t>智能驾驶辅助预警</t>
    </r>
    <r>
      <rPr>
        <sz val="12"/>
        <color theme="1"/>
        <rFont val="仿宋"/>
        <charset val="134"/>
      </rPr>
      <t xml:space="preserve">
（条）-</t>
    </r>
    <r>
      <rPr>
        <b/>
        <sz val="12"/>
        <color theme="1"/>
        <rFont val="仿宋"/>
        <charset val="134"/>
      </rPr>
      <t>数据没有问题</t>
    </r>
    <r>
      <rPr>
        <sz val="12"/>
        <color theme="1"/>
        <rFont val="仿宋"/>
        <charset val="134"/>
      </rPr>
      <t>，触发事件都在里面（如：急加速、急减速、急转弯、分心预警、FCW预警）</t>
    </r>
  </si>
  <si>
    <r>
      <rPr>
        <b/>
        <sz val="12"/>
        <color rgb="FFFF0000"/>
        <rFont val="仿宋"/>
        <charset val="134"/>
      </rPr>
      <t>总里程</t>
    </r>
    <r>
      <rPr>
        <sz val="12"/>
        <color theme="1"/>
        <rFont val="仿宋"/>
        <charset val="134"/>
      </rPr>
      <t xml:space="preserve">
（KM）-</t>
    </r>
    <r>
      <rPr>
        <b/>
        <sz val="12"/>
        <color theme="1"/>
        <rFont val="仿宋"/>
        <charset val="134"/>
      </rPr>
      <t>数据没有问题</t>
    </r>
  </si>
  <si>
    <r>
      <rPr>
        <b/>
        <sz val="12"/>
        <color rgb="FFFF0000"/>
        <rFont val="仿宋"/>
        <charset val="134"/>
      </rPr>
      <t>AEB里程</t>
    </r>
    <r>
      <rPr>
        <sz val="12"/>
        <color theme="1"/>
        <rFont val="仿宋"/>
        <charset val="134"/>
      </rPr>
      <t xml:space="preserve">
（KM）-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</si>
  <si>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ACC里程-</t>
    </r>
    <r>
      <rPr>
        <b/>
        <sz val="12"/>
        <rFont val="仿宋"/>
        <charset val="134"/>
      </rPr>
      <t>底层逻辑有问题</t>
    </r>
  </si>
  <si>
    <r>
      <rPr>
        <sz val="12"/>
        <color theme="1"/>
        <rFont val="仿宋"/>
        <charset val="134"/>
      </rPr>
      <t>总充电次数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</si>
  <si>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低电量充电次数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</si>
  <si>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故障充电次数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</si>
  <si>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累计停车次数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</si>
  <si>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急加速次数-</t>
    </r>
    <r>
      <rPr>
        <b/>
        <sz val="12"/>
        <rFont val="仿宋"/>
        <charset val="134"/>
      </rPr>
      <t>没有传数据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</si>
  <si>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急减速次数-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</si>
  <si>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急转弯次数-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</si>
  <si>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分心驾驶次数-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</si>
  <si>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疲劳驾驶次数-</t>
    </r>
    <r>
      <rPr>
        <b/>
        <sz val="12"/>
        <rFont val="仿宋"/>
        <charset val="134"/>
      </rPr>
      <t>传了字段，但是不清楚是否触发-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</si>
  <si>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危险驾驶次数-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</si>
  <si>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FCW激活次数-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</si>
  <si>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AEB激活次数-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</si>
  <si>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LDP激活基础次数-</t>
    </r>
    <r>
      <rPr>
        <b/>
        <sz val="12"/>
        <rFont val="仿宋"/>
        <charset val="134"/>
      </rPr>
      <t>数据没有问题</t>
    </r>
  </si>
  <si>
    <t>备注</t>
  </si>
  <si>
    <t>00000009M71XMora6</t>
  </si>
  <si>
    <t>LR82STHTXSB013336</t>
  </si>
  <si>
    <t>0000006oSi0ZWxiXu</t>
  </si>
  <si>
    <t>LR82STHTXSB013434</t>
  </si>
  <si>
    <t>00000020nBzNlYg94</t>
  </si>
  <si>
    <t>LR82STHT7SB011821</t>
  </si>
  <si>
    <t>R5车款企标数据在三方平台，不在赛力斯</t>
  </si>
  <si>
    <t>0000008EDCYYh2yfd</t>
  </si>
  <si>
    <t>LR82STHT4TB000017</t>
  </si>
  <si>
    <t>广西车辆</t>
  </si>
  <si>
    <t>0000007AN8N33t8QG</t>
  </si>
  <si>
    <t>LR82STHT5SB014037</t>
  </si>
  <si>
    <t>000000508o4LfChuz</t>
  </si>
  <si>
    <t>LR82STHTXSB014051</t>
  </si>
  <si>
    <t>0000002gxTPFedBwM</t>
  </si>
  <si>
    <t>LR82STHT8SB014047</t>
  </si>
  <si>
    <t>0000002plMQSShEZn</t>
  </si>
  <si>
    <t>LVPP6D6C2TD000999</t>
  </si>
  <si>
    <t>走审批流程，待传输</t>
  </si>
  <si>
    <t>企业自用客车（易顺），vala home</t>
  </si>
  <si>
    <t>0000007VVHGbwDCTl</t>
  </si>
  <si>
    <t>LR82STHT3TB000347</t>
  </si>
  <si>
    <t>0000003l4ZD6zDBGZ</t>
  </si>
  <si>
    <t>LR82MTHT2TB010250</t>
  </si>
  <si>
    <t>00000094Bvsqb07pf</t>
  </si>
  <si>
    <t>LR82MTHT6TB010431</t>
  </si>
  <si>
    <t>0000008JUdk79edpF</t>
  </si>
  <si>
    <t>LR82MTHTXTB010903</t>
  </si>
  <si>
    <t>000000AWOc5Obr4ia</t>
  </si>
  <si>
    <t>LVPP6D6C8TD004717</t>
  </si>
  <si>
    <t>vala home</t>
  </si>
  <si>
    <t>授权月份</t>
  </si>
  <si>
    <t>授权车辆数（辆）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</si>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</sst>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  <numFmt numFmtId="178" formatCode="0_ "/>
    <numFmt numFmtId="179" formatCode="0.0_ "/>
    <numFmt numFmtId="180" formatCode="0.00_);[Red]\(0.00\)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b/>
      <sz val="12"/>
      <color rgb="FFFF0000"/>
      <name val="仿宋"/>
      <charset val="134"/>
    </font>
    <font>
      <sz val="12"/>
      <color rgb="FF000000"/>
      <name val="仿宋"/>
      <charset val="134"/>
    </font>
    <font>
      <sz val="12"/>
      <name val="仿宋"/>
      <charset val="134"/>
    </font>
    <font>
      <sz val="12"/>
      <name val="仿宋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仿宋"/>
      <charset val="134"/>
    </font>
    <font>
      <b/>
      <sz val="12"/>
      <color theme="1"/>
      <name val="仿宋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8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9" borderId="6">
      <alignment vertical="center"/>
    </xf>
    <xf numFmtId="0" fontId="18" fillId="10" borderId="7">
      <alignment vertical="center"/>
    </xf>
    <xf numFmtId="0" fontId="19" fillId="10" borderId="6">
      <alignment vertical="center"/>
    </xf>
    <xf numFmtId="0" fontId="20" fillId="11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7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179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621030</xdr:colOff>
      <xdr:row>17</xdr:row>
      <xdr:rowOff>113665</xdr:rowOff>
    </xdr:from>
    <xdr:to>
      <xdr:col>27</xdr:col>
      <xdr:colOff>483870</xdr:colOff>
      <xdr:row>44</xdr:row>
      <xdr:rowOff>42545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82705" y="3136265"/>
          <a:ext cx="8249920" cy="472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623570</xdr:colOff>
      <xdr:row>17</xdr:row>
      <xdr:rowOff>156845</xdr:rowOff>
    </xdr:from>
    <xdr:to>
      <xdr:col>12</xdr:col>
      <xdr:colOff>450215</xdr:colOff>
      <xdr:row>44</xdr:row>
      <xdr:rowOff>90170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71650" y="3179445"/>
          <a:ext cx="8249920" cy="4733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"/>
  <sheetViews>
    <sheetView tabSelected="1" zoomScale="85" zoomScaleNormal="85" workbookViewId="0">
      <selection activeCell="F19" sqref="F19"/>
    </sheetView>
  </sheetViews>
  <sheetFormatPr defaultColWidth="9.23636363636364" defaultRowHeight="25" customHeight="1"/>
  <cols>
    <col min="1" max="1" width="5.37272727272727" style="7" customWidth="1"/>
    <col min="2" max="2" width="19.3727272727273" style="8" customWidth="1"/>
    <col min="3" max="3" width="19.3727272727273" style="9" customWidth="1"/>
    <col min="4" max="4" width="13.7545454545455" customWidth="1"/>
    <col min="5" max="5" width="20.3727272727273" customWidth="1"/>
    <col min="6" max="6" width="13.7545454545455" customWidth="1"/>
    <col min="7" max="7" width="11.5" customWidth="1"/>
    <col min="8" max="8" width="20.3727272727273" customWidth="1"/>
    <col min="9" max="9" width="20.6272727272727" customWidth="1"/>
    <col min="10" max="10" width="20.3727272727273" customWidth="1"/>
    <col min="11" max="11" width="25.4272727272727" customWidth="1"/>
    <col min="12" max="12" width="23.0727272727273" customWidth="1"/>
    <col min="13" max="26" width="20.3727272727273" customWidth="1"/>
    <col min="27" max="27" width="21.5" customWidth="1"/>
    <col min="28" max="28" width="36.6272727272727" customWidth="1"/>
  </cols>
  <sheetData>
    <row r="1" customHeight="1" spans="1:28">
      <c r="A1" s="10" t="s">
        <v>0</v>
      </c>
      <c r="B1" s="10"/>
      <c r="C1" s="10" t="s">
        <v>1</v>
      </c>
      <c r="D1" s="10"/>
    </row>
    <row r="2" ht="78" customHeight="1" spans="1:28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2" t="s">
        <v>9</v>
      </c>
      <c r="I2" s="13" t="s">
        <v>10</v>
      </c>
      <c r="J2" s="13" t="s">
        <v>11</v>
      </c>
      <c r="K2" s="12" t="s">
        <v>12</v>
      </c>
      <c r="L2" s="14" t="s">
        <v>13</v>
      </c>
      <c r="M2" s="15" t="s">
        <v>14</v>
      </c>
      <c r="N2" s="16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7" t="s">
        <v>20</v>
      </c>
      <c r="T2" s="17" t="s">
        <v>21</v>
      </c>
      <c r="U2" s="17" t="s">
        <v>22</v>
      </c>
      <c r="V2" s="18" t="s">
        <v>23</v>
      </c>
      <c r="W2" s="18" t="s">
        <v>24</v>
      </c>
      <c r="X2" s="18" t="s">
        <v>25</v>
      </c>
      <c r="Y2" s="19" t="s">
        <v>26</v>
      </c>
      <c r="Z2" s="19" t="s">
        <v>27</v>
      </c>
      <c r="AA2" s="19" t="s">
        <v>28</v>
      </c>
      <c r="AB2" s="11" t="s">
        <v>29</v>
      </c>
    </row>
    <row r="3" customHeight="1" spans="1:28">
      <c r="A3" s="11">
        <v>1</v>
      </c>
      <c r="B3" s="11" t="s">
        <v>30</v>
      </c>
      <c r="C3" s="11" t="s">
        <v>31</v>
      </c>
      <c r="D3" s="20">
        <v>46090</v>
      </c>
      <c r="E3" s="21">
        <v>46090</v>
      </c>
      <c r="F3" s="22">
        <v>12796.43</v>
      </c>
      <c r="G3" s="23">
        <v>3</v>
      </c>
      <c r="H3" s="24">
        <v>0</v>
      </c>
      <c r="I3" s="23">
        <v>83</v>
      </c>
      <c r="J3" s="23">
        <v>87</v>
      </c>
      <c r="K3" s="23">
        <v>9145</v>
      </c>
      <c r="L3" s="25">
        <v>19697.5</v>
      </c>
      <c r="M3" s="25">
        <v>19697.5</v>
      </c>
      <c r="N3" s="25">
        <v>2.9</v>
      </c>
      <c r="O3" s="23">
        <v>171</v>
      </c>
      <c r="P3" s="23">
        <v>15</v>
      </c>
      <c r="Q3" s="23">
        <v>0</v>
      </c>
      <c r="R3" s="23">
        <v>1518</v>
      </c>
      <c r="S3" s="23">
        <v>0</v>
      </c>
      <c r="T3" s="23">
        <v>6</v>
      </c>
      <c r="U3" s="23">
        <v>590</v>
      </c>
      <c r="V3" s="23">
        <v>0</v>
      </c>
      <c r="W3" s="23">
        <v>0</v>
      </c>
      <c r="X3" s="23">
        <v>0</v>
      </c>
      <c r="Y3" s="23">
        <v>163</v>
      </c>
      <c r="Z3" s="26">
        <v>1</v>
      </c>
      <c r="AA3" s="23">
        <v>3</v>
      </c>
      <c r="AB3" s="11"/>
    </row>
    <row r="4" customHeight="1" spans="1:28">
      <c r="A4" s="11">
        <v>2</v>
      </c>
      <c r="B4" s="11" t="s">
        <v>32</v>
      </c>
      <c r="C4" s="27" t="s">
        <v>33</v>
      </c>
      <c r="D4" s="20">
        <v>46092</v>
      </c>
      <c r="E4" s="21">
        <v>46092</v>
      </c>
      <c r="F4" s="22">
        <v>12742.81</v>
      </c>
      <c r="G4" s="23">
        <v>3</v>
      </c>
      <c r="H4" s="23">
        <v>0</v>
      </c>
      <c r="I4" s="23">
        <v>85</v>
      </c>
      <c r="J4" s="23">
        <v>96</v>
      </c>
      <c r="K4" s="23">
        <v>11295</v>
      </c>
      <c r="L4" s="25">
        <v>28403.1</v>
      </c>
      <c r="M4" s="25">
        <v>28403.1</v>
      </c>
      <c r="N4" s="25">
        <v>333.2</v>
      </c>
      <c r="O4" s="23">
        <v>206</v>
      </c>
      <c r="P4" s="23">
        <v>24</v>
      </c>
      <c r="Q4" s="23">
        <v>0</v>
      </c>
      <c r="R4" s="23">
        <v>1559</v>
      </c>
      <c r="S4" s="23">
        <v>0</v>
      </c>
      <c r="T4" s="23">
        <v>23</v>
      </c>
      <c r="U4" s="23">
        <v>790</v>
      </c>
      <c r="V4" s="23">
        <v>0</v>
      </c>
      <c r="W4" s="23">
        <v>0</v>
      </c>
      <c r="X4" s="23">
        <v>0</v>
      </c>
      <c r="Y4" s="23">
        <v>137</v>
      </c>
      <c r="Z4" s="23">
        <v>0</v>
      </c>
      <c r="AA4" s="23">
        <v>52</v>
      </c>
      <c r="AB4" s="11"/>
    </row>
    <row r="5" customHeight="1" spans="1:28">
      <c r="A5" s="11">
        <v>3</v>
      </c>
      <c r="B5" s="11" t="s">
        <v>34</v>
      </c>
      <c r="C5" s="27" t="s">
        <v>35</v>
      </c>
      <c r="D5" s="20">
        <v>46093</v>
      </c>
      <c r="E5" s="21">
        <v>46093</v>
      </c>
      <c r="F5" s="22">
        <v>12752.03</v>
      </c>
      <c r="G5" s="23">
        <v>3</v>
      </c>
      <c r="H5" s="23">
        <v>0</v>
      </c>
      <c r="I5" s="23">
        <v>97</v>
      </c>
      <c r="J5" s="23">
        <v>91</v>
      </c>
      <c r="K5" s="23">
        <v>0</v>
      </c>
      <c r="L5" s="25">
        <v>12016.4</v>
      </c>
      <c r="M5" s="25">
        <v>12016.4</v>
      </c>
      <c r="N5" s="23">
        <v>0</v>
      </c>
      <c r="O5" s="23">
        <v>70</v>
      </c>
      <c r="P5" s="23">
        <v>32</v>
      </c>
      <c r="Q5" s="23">
        <v>0</v>
      </c>
      <c r="R5" s="23">
        <v>936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13" t="s">
        <v>36</v>
      </c>
    </row>
    <row r="6" customHeight="1" spans="1:28">
      <c r="A6" s="11">
        <v>4</v>
      </c>
      <c r="B6" s="28" t="s">
        <v>37</v>
      </c>
      <c r="C6" s="11" t="s">
        <v>38</v>
      </c>
      <c r="D6" s="29">
        <v>46097</v>
      </c>
      <c r="E6" s="21">
        <v>46097</v>
      </c>
      <c r="F6" s="22">
        <v>12742.51</v>
      </c>
      <c r="G6" s="23">
        <v>3</v>
      </c>
      <c r="H6" s="23">
        <v>0</v>
      </c>
      <c r="I6" s="23">
        <v>82</v>
      </c>
      <c r="J6" s="23">
        <v>95</v>
      </c>
      <c r="K6" s="23">
        <v>14533</v>
      </c>
      <c r="L6" s="23">
        <v>28198</v>
      </c>
      <c r="M6" s="23">
        <v>28198</v>
      </c>
      <c r="N6" s="25">
        <v>14.5</v>
      </c>
      <c r="O6" s="23">
        <v>230</v>
      </c>
      <c r="P6" s="23">
        <v>31</v>
      </c>
      <c r="Q6" s="23">
        <v>0</v>
      </c>
      <c r="R6" s="23">
        <v>1498</v>
      </c>
      <c r="S6" s="23">
        <v>0</v>
      </c>
      <c r="T6" s="23">
        <v>5</v>
      </c>
      <c r="U6" s="23">
        <v>839</v>
      </c>
      <c r="V6" s="23">
        <v>0</v>
      </c>
      <c r="W6" s="23">
        <v>0</v>
      </c>
      <c r="X6" s="23">
        <v>0</v>
      </c>
      <c r="Y6" s="23">
        <v>659</v>
      </c>
      <c r="Z6" s="23">
        <v>1</v>
      </c>
      <c r="AA6" s="23">
        <v>29</v>
      </c>
      <c r="AB6" s="11" t="s">
        <v>39</v>
      </c>
    </row>
    <row r="7" customHeight="1" spans="1:28">
      <c r="A7" s="11">
        <v>5</v>
      </c>
      <c r="B7" s="11" t="s">
        <v>40</v>
      </c>
      <c r="C7" s="11" t="s">
        <v>41</v>
      </c>
      <c r="D7" s="20">
        <v>46100</v>
      </c>
      <c r="E7" s="21">
        <v>46100</v>
      </c>
      <c r="F7" s="22">
        <v>12747.12</v>
      </c>
      <c r="G7" s="23">
        <v>3</v>
      </c>
      <c r="H7" s="23">
        <v>0</v>
      </c>
      <c r="I7" s="23">
        <v>84</v>
      </c>
      <c r="J7" s="23">
        <v>95</v>
      </c>
      <c r="K7" s="23">
        <v>9632</v>
      </c>
      <c r="L7" s="25">
        <v>20347.4</v>
      </c>
      <c r="M7" s="25">
        <v>20347.4</v>
      </c>
      <c r="N7" s="25">
        <v>736.7</v>
      </c>
      <c r="O7" s="23">
        <v>153</v>
      </c>
      <c r="P7" s="23">
        <v>37</v>
      </c>
      <c r="Q7" s="23">
        <v>0</v>
      </c>
      <c r="R7" s="23">
        <v>1151</v>
      </c>
      <c r="S7" s="23">
        <v>0</v>
      </c>
      <c r="T7" s="23">
        <v>23</v>
      </c>
      <c r="U7" s="23">
        <v>625</v>
      </c>
      <c r="V7" s="23">
        <v>0</v>
      </c>
      <c r="W7" s="23">
        <v>0</v>
      </c>
      <c r="X7" s="23">
        <v>0</v>
      </c>
      <c r="Y7" s="23">
        <v>637</v>
      </c>
      <c r="Z7" s="23">
        <v>0</v>
      </c>
      <c r="AA7" s="23">
        <v>12</v>
      </c>
      <c r="AB7" s="11"/>
    </row>
    <row r="8" customHeight="1" spans="1:28">
      <c r="A8" s="11">
        <v>6</v>
      </c>
      <c r="B8" s="11" t="s">
        <v>42</v>
      </c>
      <c r="C8" s="11" t="s">
        <v>43</v>
      </c>
      <c r="D8" s="29">
        <v>46111</v>
      </c>
      <c r="E8" s="21">
        <v>46143</v>
      </c>
      <c r="F8" s="22">
        <v>12750.5</v>
      </c>
      <c r="G8" s="23">
        <v>3</v>
      </c>
      <c r="H8" s="23">
        <v>0</v>
      </c>
      <c r="I8" s="23">
        <v>87</v>
      </c>
      <c r="J8" s="23">
        <v>92</v>
      </c>
      <c r="K8" s="23">
        <v>2637</v>
      </c>
      <c r="L8" s="25">
        <v>3764.9</v>
      </c>
      <c r="M8" s="25">
        <v>3764.9</v>
      </c>
      <c r="N8" s="25">
        <v>1.2</v>
      </c>
      <c r="O8" s="23">
        <v>30</v>
      </c>
      <c r="P8" s="23">
        <v>1</v>
      </c>
      <c r="Q8" s="23">
        <v>0</v>
      </c>
      <c r="R8" s="23">
        <v>415</v>
      </c>
      <c r="S8" s="23">
        <v>0</v>
      </c>
      <c r="T8" s="23">
        <v>2</v>
      </c>
      <c r="U8" s="23">
        <v>193</v>
      </c>
      <c r="V8" s="23">
        <v>0</v>
      </c>
      <c r="W8" s="23">
        <v>0</v>
      </c>
      <c r="X8" s="23">
        <v>0</v>
      </c>
      <c r="Y8" s="23">
        <v>6</v>
      </c>
      <c r="Z8" s="23">
        <v>0</v>
      </c>
      <c r="AA8" s="23">
        <v>0</v>
      </c>
      <c r="AB8" s="11"/>
    </row>
    <row r="9" customHeight="1" spans="1:28">
      <c r="A9" s="11">
        <v>7</v>
      </c>
      <c r="B9" s="11" t="s">
        <v>44</v>
      </c>
      <c r="C9" s="27" t="s">
        <v>45</v>
      </c>
      <c r="D9" s="20">
        <v>46114</v>
      </c>
      <c r="E9" s="21">
        <v>46143</v>
      </c>
      <c r="F9" s="22">
        <v>12792.04</v>
      </c>
      <c r="G9" s="23">
        <v>2</v>
      </c>
      <c r="H9" s="23">
        <v>0</v>
      </c>
      <c r="I9" s="23">
        <v>87</v>
      </c>
      <c r="J9" s="23">
        <v>90</v>
      </c>
      <c r="K9" s="23">
        <v>5828</v>
      </c>
      <c r="L9" s="25">
        <v>6944.7</v>
      </c>
      <c r="M9" s="25">
        <v>6944.7</v>
      </c>
      <c r="N9" s="23">
        <v>6</v>
      </c>
      <c r="O9" s="23">
        <v>37</v>
      </c>
      <c r="P9" s="23">
        <v>16</v>
      </c>
      <c r="Q9" s="23">
        <v>0</v>
      </c>
      <c r="R9" s="23">
        <v>484</v>
      </c>
      <c r="S9" s="23">
        <v>0</v>
      </c>
      <c r="T9" s="23">
        <v>5</v>
      </c>
      <c r="U9" s="23">
        <v>525</v>
      </c>
      <c r="V9" s="23">
        <v>0</v>
      </c>
      <c r="W9" s="23">
        <v>0</v>
      </c>
      <c r="X9" s="23">
        <v>0</v>
      </c>
      <c r="Y9" s="23">
        <v>80</v>
      </c>
      <c r="Z9" s="23">
        <v>0</v>
      </c>
      <c r="AA9" s="23">
        <v>0</v>
      </c>
      <c r="AB9" s="11"/>
    </row>
    <row r="10" customHeight="1" spans="1:28">
      <c r="A10" s="11">
        <v>8</v>
      </c>
      <c r="B10" s="11" t="s">
        <v>46</v>
      </c>
      <c r="C10" s="27" t="s">
        <v>47</v>
      </c>
      <c r="D10" s="20">
        <v>46120</v>
      </c>
      <c r="E10" s="11" t="s">
        <v>48</v>
      </c>
      <c r="F10" s="22">
        <v>6948.72</v>
      </c>
      <c r="G10" s="23">
        <v>2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1" t="s">
        <v>48</v>
      </c>
      <c r="P10" s="11" t="s">
        <v>48</v>
      </c>
      <c r="Q10" s="11" t="s">
        <v>48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48</v>
      </c>
      <c r="W10" s="11" t="s">
        <v>48</v>
      </c>
      <c r="X10" s="11" t="s">
        <v>48</v>
      </c>
      <c r="Y10" s="11" t="s">
        <v>48</v>
      </c>
      <c r="Z10" s="11" t="s">
        <v>48</v>
      </c>
      <c r="AA10" s="11" t="s">
        <v>48</v>
      </c>
      <c r="AB10" s="11" t="s">
        <v>49</v>
      </c>
    </row>
    <row r="11" customHeight="1" spans="1:28">
      <c r="A11" s="11">
        <v>9</v>
      </c>
      <c r="B11" s="11" t="s">
        <v>50</v>
      </c>
      <c r="C11" s="27" t="s">
        <v>51</v>
      </c>
      <c r="D11" s="20">
        <v>46154</v>
      </c>
      <c r="E11" s="21">
        <v>46174</v>
      </c>
      <c r="F11" s="22">
        <v>12828.96</v>
      </c>
      <c r="G11" s="23">
        <v>2</v>
      </c>
      <c r="H11" s="23">
        <v>0</v>
      </c>
      <c r="I11" s="23">
        <v>90</v>
      </c>
      <c r="J11" s="23">
        <v>97</v>
      </c>
      <c r="K11" s="23">
        <v>2334</v>
      </c>
      <c r="L11" s="25">
        <v>420.4</v>
      </c>
      <c r="M11" s="25">
        <v>420.4</v>
      </c>
      <c r="N11" s="23">
        <v>0</v>
      </c>
      <c r="O11" s="23">
        <v>3</v>
      </c>
      <c r="P11" s="23">
        <v>1</v>
      </c>
      <c r="Q11" s="23">
        <v>0</v>
      </c>
      <c r="R11" s="23">
        <v>34</v>
      </c>
      <c r="S11" s="23">
        <v>0</v>
      </c>
      <c r="T11" s="23">
        <v>0</v>
      </c>
      <c r="U11" s="23">
        <v>43</v>
      </c>
      <c r="V11" s="23">
        <v>0</v>
      </c>
      <c r="W11" s="23">
        <v>0</v>
      </c>
      <c r="X11" s="23">
        <v>0</v>
      </c>
      <c r="Y11" s="23">
        <v>3</v>
      </c>
      <c r="Z11" s="23">
        <v>0</v>
      </c>
      <c r="AA11" s="23">
        <v>0</v>
      </c>
      <c r="AB11" s="11"/>
    </row>
    <row r="12" customHeight="1" spans="1:28">
      <c r="A12" s="11">
        <v>10</v>
      </c>
      <c r="B12" s="11" t="s">
        <v>52</v>
      </c>
      <c r="C12" s="27" t="s">
        <v>53</v>
      </c>
      <c r="D12" s="20">
        <v>46156</v>
      </c>
      <c r="E12" s="21">
        <v>46174</v>
      </c>
      <c r="F12" s="22">
        <v>12934.2</v>
      </c>
      <c r="G12" s="23">
        <v>1</v>
      </c>
      <c r="H12" s="23">
        <v>0</v>
      </c>
      <c r="I12" s="23">
        <v>81</v>
      </c>
      <c r="J12" s="23">
        <v>96</v>
      </c>
      <c r="K12" s="23">
        <v>2120</v>
      </c>
      <c r="L12" s="25">
        <v>864.7</v>
      </c>
      <c r="M12" s="25">
        <v>864.7</v>
      </c>
      <c r="N12" s="25">
        <v>0.1</v>
      </c>
      <c r="O12" s="23">
        <v>5</v>
      </c>
      <c r="P12" s="23">
        <v>0</v>
      </c>
      <c r="Q12" s="23">
        <v>0</v>
      </c>
      <c r="R12" s="23">
        <v>126</v>
      </c>
      <c r="S12" s="23">
        <v>0</v>
      </c>
      <c r="T12" s="23">
        <v>4</v>
      </c>
      <c r="U12" s="23">
        <v>157</v>
      </c>
      <c r="V12" s="23">
        <v>0</v>
      </c>
      <c r="W12" s="23">
        <v>0</v>
      </c>
      <c r="X12" s="23">
        <v>0</v>
      </c>
      <c r="Y12" s="23">
        <v>12</v>
      </c>
      <c r="Z12" s="23">
        <v>0</v>
      </c>
      <c r="AA12" s="23">
        <v>0</v>
      </c>
      <c r="AB12" s="11"/>
    </row>
    <row r="13" customHeight="1" spans="1:28">
      <c r="A13" s="11">
        <v>11</v>
      </c>
      <c r="B13" s="11" t="s">
        <v>54</v>
      </c>
      <c r="C13" s="27" t="s">
        <v>55</v>
      </c>
      <c r="D13" s="29">
        <v>46160</v>
      </c>
      <c r="E13" s="11" t="s">
        <v>48</v>
      </c>
      <c r="F13" s="22">
        <v>16576.89</v>
      </c>
      <c r="G13" s="23">
        <v>1</v>
      </c>
      <c r="H13" s="11" t="s">
        <v>48</v>
      </c>
      <c r="I13" s="11" t="s">
        <v>48</v>
      </c>
      <c r="J13" s="11" t="s">
        <v>48</v>
      </c>
      <c r="K13" s="11" t="s">
        <v>48</v>
      </c>
      <c r="L13" s="11" t="s">
        <v>48</v>
      </c>
      <c r="M13" s="11" t="s">
        <v>48</v>
      </c>
      <c r="N13" s="11" t="s">
        <v>48</v>
      </c>
      <c r="O13" s="11" t="s">
        <v>48</v>
      </c>
      <c r="P13" s="11" t="s">
        <v>48</v>
      </c>
      <c r="Q13" s="11" t="s">
        <v>48</v>
      </c>
      <c r="R13" s="11" t="s">
        <v>48</v>
      </c>
      <c r="S13" s="11" t="s">
        <v>48</v>
      </c>
      <c r="T13" s="11" t="s">
        <v>48</v>
      </c>
      <c r="U13" s="11" t="s">
        <v>48</v>
      </c>
      <c r="V13" s="11" t="s">
        <v>48</v>
      </c>
      <c r="W13" s="11" t="s">
        <v>48</v>
      </c>
      <c r="X13" s="11" t="s">
        <v>48</v>
      </c>
      <c r="Y13" s="11" t="s">
        <v>48</v>
      </c>
      <c r="Z13" s="11" t="s">
        <v>48</v>
      </c>
      <c r="AA13" s="11" t="s">
        <v>48</v>
      </c>
      <c r="AB13" s="11"/>
    </row>
    <row r="14" customHeight="1" spans="1:28">
      <c r="A14" s="11">
        <v>12</v>
      </c>
      <c r="B14" s="11" t="s">
        <v>56</v>
      </c>
      <c r="C14" s="11" t="s">
        <v>57</v>
      </c>
      <c r="D14" s="29">
        <v>46164</v>
      </c>
      <c r="E14" s="21">
        <v>46174</v>
      </c>
      <c r="F14" s="22">
        <v>12938.8</v>
      </c>
      <c r="G14" s="23">
        <v>1</v>
      </c>
      <c r="H14" s="23">
        <v>0</v>
      </c>
      <c r="I14" s="23">
        <v>83</v>
      </c>
      <c r="J14" s="23">
        <v>87</v>
      </c>
      <c r="K14" s="23">
        <v>1050</v>
      </c>
      <c r="L14" s="25">
        <v>1240.5</v>
      </c>
      <c r="M14" s="25">
        <v>1240.5</v>
      </c>
      <c r="N14" s="25">
        <v>0.3</v>
      </c>
      <c r="O14" s="23">
        <v>8</v>
      </c>
      <c r="P14" s="23">
        <v>1</v>
      </c>
      <c r="Q14" s="23">
        <v>0</v>
      </c>
      <c r="R14" s="23">
        <v>93</v>
      </c>
      <c r="S14" s="23">
        <v>0</v>
      </c>
      <c r="T14" s="23">
        <v>4</v>
      </c>
      <c r="U14" s="23">
        <v>70</v>
      </c>
      <c r="V14" s="23">
        <v>0</v>
      </c>
      <c r="W14" s="23">
        <v>0</v>
      </c>
      <c r="X14" s="23">
        <v>0</v>
      </c>
      <c r="Y14" s="23">
        <v>3</v>
      </c>
      <c r="Z14" s="23">
        <v>0</v>
      </c>
      <c r="AA14" s="23">
        <v>0</v>
      </c>
      <c r="AB14" s="11"/>
    </row>
    <row r="15" customFormat="1" customHeight="1" spans="1:28">
      <c r="A15" s="11">
        <v>13</v>
      </c>
      <c r="B15" s="11" t="s">
        <v>58</v>
      </c>
      <c r="C15" s="11" t="s">
        <v>59</v>
      </c>
      <c r="D15" s="29">
        <v>46176</v>
      </c>
      <c r="E15" s="11" t="s">
        <v>48</v>
      </c>
      <c r="F15" s="30">
        <v>6223.86</v>
      </c>
      <c r="G15" s="11">
        <v>0</v>
      </c>
      <c r="H15" s="11" t="s">
        <v>48</v>
      </c>
      <c r="I15" s="11" t="s">
        <v>48</v>
      </c>
      <c r="J15" s="11" t="s">
        <v>48</v>
      </c>
      <c r="K15" s="11" t="s">
        <v>48</v>
      </c>
      <c r="L15" s="11" t="s">
        <v>48</v>
      </c>
      <c r="M15" s="11" t="s">
        <v>48</v>
      </c>
      <c r="N15" s="11" t="s">
        <v>48</v>
      </c>
      <c r="O15" s="11" t="s">
        <v>48</v>
      </c>
      <c r="P15" s="11" t="s">
        <v>48</v>
      </c>
      <c r="Q15" s="11" t="s">
        <v>48</v>
      </c>
      <c r="R15" s="11" t="s">
        <v>48</v>
      </c>
      <c r="S15" s="11" t="s">
        <v>48</v>
      </c>
      <c r="T15" s="11" t="s">
        <v>48</v>
      </c>
      <c r="U15" s="11" t="s">
        <v>48</v>
      </c>
      <c r="V15" s="11" t="s">
        <v>48</v>
      </c>
      <c r="W15" s="11" t="s">
        <v>48</v>
      </c>
      <c r="X15" s="11" t="s">
        <v>48</v>
      </c>
      <c r="Y15" s="11" t="s">
        <v>48</v>
      </c>
      <c r="Z15" s="11" t="s">
        <v>48</v>
      </c>
      <c r="AA15" s="11" t="s">
        <v>48</v>
      </c>
      <c r="AB15" s="11" t="s">
        <v>60</v>
      </c>
    </row>
  </sheetData>
  <sortState ref="A2:AB19">
    <sortCondition ref="D2:D19"/>
  </sortState>
  <mergeCells count="2">
    <mergeCell ref="A1:B1"/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="68" zoomScaleNormal="68" workbookViewId="0">
      <selection activeCell="Q53" sqref="Q53"/>
    </sheetView>
  </sheetViews>
  <sheetFormatPr defaultColWidth="9.23636363636364" defaultRowHeight="14" outlineLevelRow="5" outlineLevelCol="2"/>
  <cols>
    <col min="1" max="1" width="16.4363636363636" customWidth="1"/>
    <col min="2" max="2" width="19.8181818181818"/>
    <col min="3" max="3" width="17.6454545454545" customWidth="1"/>
  </cols>
  <sheetData>
    <row r="1" spans="1:3">
      <c r="A1" s="1" t="s">
        <v>61</v>
      </c>
      <c r="B1" s="1" t="s">
        <v>62</v>
      </c>
      <c r="C1" s="1" t="s">
        <v>7</v>
      </c>
    </row>
    <row r="2" spans="1:3">
      <c r="A2" s="2">
        <v>46082</v>
      </c>
      <c r="B2" s="3">
        <v>6</v>
      </c>
      <c r="C2" s="4">
        <v>76531.4</v>
      </c>
    </row>
    <row r="3" spans="1:3">
      <c r="A3" s="2">
        <v>46113</v>
      </c>
      <c r="B3" s="3">
        <v>2</v>
      </c>
      <c r="C3" s="4">
        <v>15337.44</v>
      </c>
    </row>
    <row r="4" spans="1:3">
      <c r="A4" s="2">
        <v>46143</v>
      </c>
      <c r="B4" s="3">
        <v>4</v>
      </c>
      <c r="C4" s="4">
        <v>55278.85</v>
      </c>
    </row>
    <row r="5" spans="1:3">
      <c r="A5" s="2">
        <v>46174</v>
      </c>
      <c r="B5" s="3">
        <v>1</v>
      </c>
      <c r="C5" s="4">
        <f>Sheet1!F15</f>
        <v>6223.86</v>
      </c>
    </row>
    <row r="6" spans="1:3">
      <c r="A6" s="5" t="s">
        <v>63</v>
      </c>
      <c r="B6" s="1">
        <f>SUM(B2:B5)</f>
        <v>13</v>
      </c>
      <c r="C6" s="6">
        <f>SUM(C2:C5)</f>
        <v>153371.55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liangtianya</dc:creator>
  <cp:lastModifiedBy>熙熙麻麻</cp:lastModifiedBy>
  <dcterms:created xsi:type="dcterms:W3CDTF">2026-05-26T04:26:00Z</dcterms:created>
  <dcterms:modified xsi:type="dcterms:W3CDTF">2026-06-06T07:25:05Z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A8F04344D10A4507AA6F25B98D677791_13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